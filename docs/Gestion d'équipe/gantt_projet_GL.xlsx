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880B4026-6574-47C7-AE5C-97BF8E8C657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antt" sheetId="1" r:id="rId1"/>
    <sheet name="Charge" sheetId="2" r:id="rId2"/>
  </sheets>
  <definedNames>
    <definedName name="_xlnm._FilterDatabase" localSheetId="0" hidden="1">Gantt!$A$1:$AX$47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Cil801l9kYMekFbgGI6ZN0niuITR1s/xYaflD4uqwr0="/>
    </ext>
  </extLst>
</workbook>
</file>

<file path=xl/calcChain.xml><?xml version="1.0" encoding="utf-8"?>
<calcChain xmlns="http://schemas.openxmlformats.org/spreadsheetml/2006/main">
  <c r="G25" i="1" l="1"/>
  <c r="G24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<sst xmlns="http://schemas.openxmlformats.org/spreadsheetml/2006/main" count="64" uniqueCount="55">
  <si>
    <t>Phase</t>
  </si>
  <si>
    <t>Tâche</t>
  </si>
  <si>
    <t>Ressource</t>
  </si>
  <si>
    <t>Début</t>
  </si>
  <si>
    <t>Fin</t>
  </si>
  <si>
    <t>Durée (j)</t>
  </si>
  <si>
    <t>Charge (h)</t>
  </si>
  <si>
    <t>HelloWorld</t>
  </si>
  <si>
    <t>Lexer</t>
  </si>
  <si>
    <t>Hossam Amr</t>
  </si>
  <si>
    <t>Parser minimal</t>
  </si>
  <si>
    <t>Ilyass Aymen Insaf</t>
  </si>
  <si>
    <t>Analyse contextuelle (StringLiteral + println)</t>
  </si>
  <si>
    <t xml:space="preserve"> Hossam Amr</t>
  </si>
  <si>
    <t>Génération code (WSTR/WNL/IMA)</t>
  </si>
  <si>
    <t>Aymen</t>
  </si>
  <si>
    <t>Tests &amp; intégration HelloWorld</t>
  </si>
  <si>
    <t>Tous</t>
  </si>
  <si>
    <t>Sans objet</t>
  </si>
  <si>
    <t xml:space="preserve">Lexer </t>
  </si>
  <si>
    <t>Hossam</t>
  </si>
  <si>
    <t>Parser</t>
  </si>
  <si>
    <t xml:space="preserve">ilyass </t>
  </si>
  <si>
    <t>Vérifications contextuelles types &amp; variables</t>
  </si>
  <si>
    <t xml:space="preserve"> Hossam </t>
  </si>
  <si>
    <t>Partie C</t>
  </si>
  <si>
    <t>Tests non régression + valid/invalid</t>
  </si>
  <si>
    <t>Insaf</t>
  </si>
  <si>
    <t>Extension</t>
  </si>
  <si>
    <t>Trigo</t>
  </si>
  <si>
    <t>Amr ilyass</t>
  </si>
  <si>
    <t>Objet</t>
  </si>
  <si>
    <t>Lexer + Parser classes/méthodes + champs</t>
  </si>
  <si>
    <t>Ilyass</t>
  </si>
  <si>
    <t>Analyse contextuelle</t>
  </si>
  <si>
    <t>Hossam Insaf</t>
  </si>
  <si>
    <t>Génération code</t>
  </si>
  <si>
    <t>Aymen Hossam</t>
  </si>
  <si>
    <t>Tests objets + intégration finale</t>
  </si>
  <si>
    <t xml:space="preserve">Insaf </t>
  </si>
  <si>
    <t>Stabilisation</t>
  </si>
  <si>
    <t>Debug / corrections / nettoyage</t>
  </si>
  <si>
    <t>Insaf Aymen Hossam</t>
  </si>
  <si>
    <t>Documentation</t>
  </si>
  <si>
    <t>Rédaction doc + slides + soutenance</t>
  </si>
  <si>
    <t>Jalon</t>
  </si>
  <si>
    <t>Suivi 1 (19/12)</t>
  </si>
  <si>
    <t>Suivi 2 (07/01)</t>
  </si>
  <si>
    <t>Suivi 3 (13/01)</t>
  </si>
  <si>
    <t>Soutenance finale (23/01)</t>
  </si>
  <si>
    <t>Gesiton de l'équipe</t>
  </si>
  <si>
    <t>Planning prévu + Réalisation</t>
  </si>
  <si>
    <t>Gestion des risques</t>
  </si>
  <si>
    <t>Charte de Travail</t>
  </si>
  <si>
    <t>Amr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</si>
</sst>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"/>
    <numFmt numFmtId="165" formatCode="dd/mm"/>
    <numFmt numFmtId="166" formatCode="d/m/yyyy"/>
    <numFmt numFmtId="167" formatCode="dd/mm/yyyy"/>
  </numFmts>
  <fonts count="6">
    <font>
      <sz val="11"/>
      <color theme="1"/>
      <name val="Calibri"/>
      <scheme val="minor"/>
    </font>
    <font>
      <b/>
      <sz val="11"/>
      <color rgb="FFFFFFFF"/>
      <name val="Calibri"/>
    </font>
    <font>
      <b/>
      <sz val="11"/>
      <color rgb="FFFFFFFF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93BFFF"/>
        <bgColor rgb="FF93BFFF"/>
      </patternFill>
    </fill>
    <fill>
      <patternFill patternType="solid">
        <fgColor rgb="FF9DC3E6"/>
        <bgColor rgb="FF9DC3E6"/>
      </patternFill>
    </fill>
    <fill>
      <patternFill patternType="solid">
        <fgColor rgb="FFD9E1F2"/>
        <bgColor rgb="FFD9E1F2"/>
      </patternFill>
    </fill>
    <fill>
      <patternFill patternType="solid">
        <fgColor rgb="FF99FF99"/>
        <bgColor rgb="FF99FF99"/>
      </patternFill>
    </fill>
    <fill>
      <patternFill patternType="solid">
        <fgColor rgb="FFD5ABFF"/>
        <bgColor rgb="FFD5ABFF"/>
      </patternFill>
    </fill>
    <fill>
      <patternFill patternType="solid">
        <fgColor rgb="FFBFBFBF"/>
        <bgColor rgb="FFBFBFBF"/>
      </patternFill>
    </fill>
    <fill>
      <patternFill patternType="solid">
        <fgColor rgb="FFFFABAB"/>
        <bgColor rgb="FFFFABAB"/>
      </patternFill>
    </fill>
    <fill>
      <patternFill patternType="solid">
        <fgColor rgb="FFEFEFEF"/>
        <bgColor rgb="FFEFEFEF"/>
      </patternFill>
    </fill>
    <fill>
      <patternFill patternType="solid">
        <fgColor rgb="FFC00000"/>
        <bgColor rgb="FFC00000"/>
      </patternFill>
    </fill>
    <fill>
      <patternFill patternType="solid">
        <fgColor rgb="FFFCD5B4"/>
        <bgColor rgb="FFFCD5B4"/>
      </patternFill>
    </fill>
    <fill>
      <patternFill patternType="solid">
        <fgColor rgb="FFF2F2F2"/>
        <bgColor rgb="FFF2F2F2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BFBFBF"/>
      </right>
      <top/>
      <bottom/>
      <diagonal/>
    </border>
    <border>
      <left style="thin">
        <color rgb="FF000000"/>
      </left>
      <right style="thin">
        <color rgb="FFBFBFBF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165" fontId="2" fillId="2" borderId="5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8" xfId="0" applyFont="1" applyFill="1" applyBorder="1" applyAlignment="1"/>
    <xf numFmtId="0" fontId="3" fillId="5" borderId="5" xfId="0" applyFont="1" applyFill="1" applyBorder="1" applyAlignment="1"/>
    <xf numFmtId="0" fontId="3" fillId="0" borderId="5" xfId="0" applyFont="1" applyBorder="1" applyAlignment="1"/>
    <xf numFmtId="0" fontId="4" fillId="6" borderId="5" xfId="0" applyFont="1" applyFill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0" fontId="4" fillId="0" borderId="5" xfId="0" applyFont="1" applyBorder="1"/>
    <xf numFmtId="0" fontId="3" fillId="7" borderId="5" xfId="0" applyFont="1" applyFill="1" applyBorder="1" applyAlignment="1"/>
    <xf numFmtId="0" fontId="3" fillId="3" borderId="0" xfId="0" applyFont="1" applyFill="1" applyAlignment="1"/>
    <xf numFmtId="0" fontId="3" fillId="8" borderId="6" xfId="0" applyFont="1" applyFill="1" applyBorder="1" applyAlignment="1">
      <alignment horizontal="center"/>
    </xf>
    <xf numFmtId="0" fontId="3" fillId="8" borderId="5" xfId="0" applyFont="1" applyFill="1" applyBorder="1" applyAlignment="1"/>
    <xf numFmtId="0" fontId="3" fillId="9" borderId="6" xfId="0" applyFont="1" applyFill="1" applyBorder="1" applyAlignment="1">
      <alignment horizontal="center"/>
    </xf>
    <xf numFmtId="0" fontId="3" fillId="9" borderId="5" xfId="0" applyFont="1" applyFill="1" applyBorder="1" applyAlignment="1"/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0" fontId="1" fillId="12" borderId="5" xfId="0" applyFont="1" applyFill="1" applyBorder="1" applyAlignment="1"/>
    <xf numFmtId="0" fontId="3" fillId="13" borderId="0" xfId="0" applyFont="1" applyFill="1" applyAlignme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14" borderId="5" xfId="0" applyFont="1" applyFill="1" applyBorder="1"/>
    <xf numFmtId="0" fontId="4" fillId="0" borderId="11" xfId="0" applyFont="1" applyBorder="1" applyAlignment="1">
      <alignment horizontal="left"/>
    </xf>
    <xf numFmtId="166" fontId="3" fillId="0" borderId="11" xfId="0" applyNumberFormat="1" applyFont="1" applyBorder="1" applyAlignment="1">
      <alignment horizontal="center"/>
    </xf>
    <xf numFmtId="167" fontId="3" fillId="0" borderId="11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167" fontId="4" fillId="0" borderId="13" xfId="0" applyNumberFormat="1" applyFont="1" applyBorder="1" applyAlignment="1">
      <alignment horizontal="left"/>
    </xf>
    <xf numFmtId="0" fontId="4" fillId="0" borderId="5" xfId="0" applyFont="1" applyBorder="1" applyAlignment="1">
      <alignment horizontal="left"/>
    </xf>
    <xf numFmtId="167" fontId="4" fillId="0" borderId="5" xfId="0" applyNumberFormat="1" applyFont="1" applyBorder="1" applyAlignment="1">
      <alignment horizontal="left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/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3" fillId="11" borderId="0" xfId="0" applyFont="1" applyFill="1" applyAlignment="1">
      <alignment horizontal="center"/>
    </xf>
    <xf numFmtId="0" fontId="3" fillId="0" borderId="0" xfId="0" applyFont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5" fillId="0" borderId="9" xfId="0" applyFont="1" applyBorder="1" applyAlignment="1"/>
    <xf numFmtId="0" fontId="5" fillId="0" borderId="10" xfId="0" applyFont="1" applyBorder="1" applyAlignment="1"/>
    <xf numFmtId="0" fontId="5" fillId="0" borderId="1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Charge (h)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Charge!$B$1</c:f>
              <c:strCache>
                <c:ptCount val="1"/>
                <c:pt idx="0">
                  <c:v>Charge (h)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Charge!$A$2:$A$6</c:f>
              <c:strCache>
                <c:ptCount val="5"/>
                <c:pt idx="0">
                  <c:v>Insaf</c:v>
                </c:pt>
                <c:pt idx="1">
                  <c:v>Ilyass</c:v>
                </c:pt>
                <c:pt idx="2">
                  <c:v>Hossam</c:v>
                </c:pt>
                <c:pt idx="3">
                  <c:v>Amr</c:v>
                </c:pt>
                <c:pt idx="4">
                  <c:v>Aymen</c:v>
                </c:pt>
              </c:strCache>
            </c:strRef>
          </c:cat>
          <c:val>
            <c:numRef>
              <c:f>Charge!$B$2:$B$6</c:f>
              <c:numCache>
                <c:formatCode>General</c:formatCode>
                <c:ptCount val="5"/>
                <c:pt idx="0">
                  <c:v>246</c:v>
                </c:pt>
                <c:pt idx="1">
                  <c:v>130</c:v>
                </c:pt>
                <c:pt idx="2">
                  <c:v>266</c:v>
                </c:pt>
                <c:pt idx="3">
                  <c:v>125</c:v>
                </c:pt>
                <c:pt idx="4">
                  <c:v>242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C9F-424B-8D54-F6E01F6B8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2701205"/>
        <c:axId val="522607196"/>
      </c:barChart>
      <c:catAx>
        <c:axId val="1652701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2607196"/>
        <c:crosses val="autoZero"/>
        <c:auto val="1"/>
        <c:lblAlgn val="ctr"/>
        <c:lblOffset val="100"/>
        <c:noMultiLvlLbl val="1"/>
      </c:catAx>
      <c:valAx>
        <c:axId val="522607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Charge (h)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27012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762000</xdr:colOff>
      <xdr:row>0</xdr:row>
      <xdr:rowOff>123825</xdr:rowOff>
    </xdr:from>
    <xdr:ext cx="5715000" cy="3533775"/>
    <xdr:graphicFrame macro="">
      <xdr:nvGraphicFramePr>
        <xdr:cNvPr id="492878461" name="Chart 1" title="Graphique">
          <a:extLst>
            <a:ext uri="{FF2B5EF4-FFF2-40B4-BE49-F238E27FC236}">
              <a16:creationId xmlns:a16="http://schemas.microsoft.com/office/drawing/2014/main" id="{00000000-0008-0000-0100-00007DBA6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002"/>
  <sheetViews>
    <sheetView tabSelected="1" workbookViewId="0">
      <pane xSplit="8" ySplit="1" topLeftCell="I2" activePane="bottomRight" state="frozen"/>
      <selection pane="bottomRight" activeCell="I2" sqref="I2"/>
      <selection pane="bottomLeft" activeCell="A2" sqref="A2"/>
      <selection pane="topRight" activeCell="I1" sqref="I1"/>
    </sheetView>
  </sheetViews>
  <sheetFormatPr defaultColWidth="14.42578125" defaultRowHeight="15" customHeight="1"/>
  <cols>
    <col min="1" max="1" width="22.7109375" customWidth="1"/>
    <col min="2" max="2" width="41.42578125" customWidth="1"/>
    <col min="3" max="3" width="20.140625" customWidth="1"/>
    <col min="4" max="5" width="12" customWidth="1"/>
    <col min="6" max="6" width="15.85546875" customWidth="1"/>
    <col min="7" max="7" width="13.140625" customWidth="1"/>
    <col min="8" max="8" width="10" customWidth="1"/>
    <col min="9" max="50" width="9.7109375" customWidth="1"/>
  </cols>
  <sheetData>
    <row r="1" spans="1:5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5">
        <v>46006</v>
      </c>
      <c r="J1" s="6">
        <v>46007</v>
      </c>
      <c r="K1" s="7">
        <v>46008</v>
      </c>
      <c r="L1" s="7">
        <v>46009</v>
      </c>
      <c r="M1" s="7">
        <v>46010</v>
      </c>
      <c r="N1" s="7">
        <v>46011</v>
      </c>
      <c r="O1" s="7">
        <v>46012</v>
      </c>
      <c r="P1" s="7">
        <v>46013</v>
      </c>
      <c r="Q1" s="7">
        <v>46014</v>
      </c>
      <c r="R1" s="7">
        <v>46015</v>
      </c>
      <c r="S1" s="7">
        <v>46016</v>
      </c>
      <c r="T1" s="7">
        <v>46017</v>
      </c>
      <c r="U1" s="7">
        <v>46018</v>
      </c>
      <c r="V1" s="7">
        <v>46019</v>
      </c>
      <c r="W1" s="7">
        <v>46020</v>
      </c>
      <c r="X1" s="7">
        <v>46021</v>
      </c>
      <c r="Y1" s="7">
        <v>46022</v>
      </c>
      <c r="Z1" s="7">
        <v>45658</v>
      </c>
      <c r="AA1" s="7">
        <v>45659</v>
      </c>
      <c r="AB1" s="7">
        <v>45660</v>
      </c>
      <c r="AC1" s="7">
        <v>45661</v>
      </c>
      <c r="AD1" s="7">
        <v>45662</v>
      </c>
      <c r="AE1" s="7">
        <v>45663</v>
      </c>
      <c r="AF1" s="7">
        <v>45664</v>
      </c>
      <c r="AG1" s="7">
        <v>45665</v>
      </c>
      <c r="AH1" s="7">
        <v>45666</v>
      </c>
      <c r="AI1" s="7">
        <v>45667</v>
      </c>
      <c r="AJ1" s="7">
        <v>45668</v>
      </c>
      <c r="AK1" s="7">
        <v>45669</v>
      </c>
      <c r="AL1" s="7">
        <v>45670</v>
      </c>
      <c r="AM1" s="7">
        <v>45671</v>
      </c>
      <c r="AN1" s="7">
        <v>45672</v>
      </c>
      <c r="AO1" s="7">
        <v>45673</v>
      </c>
      <c r="AP1" s="7">
        <v>45674</v>
      </c>
      <c r="AQ1" s="7">
        <v>45675</v>
      </c>
      <c r="AR1" s="7">
        <v>45676</v>
      </c>
      <c r="AS1" s="7">
        <v>45677</v>
      </c>
      <c r="AT1" s="7">
        <v>45678</v>
      </c>
      <c r="AU1" s="7">
        <v>45679</v>
      </c>
      <c r="AV1" s="7">
        <v>45680</v>
      </c>
      <c r="AW1" s="8"/>
      <c r="AX1" s="8"/>
    </row>
    <row r="2" spans="1:50">
      <c r="A2" s="52" t="s">
        <v>7</v>
      </c>
      <c r="B2" s="9" t="s">
        <v>8</v>
      </c>
      <c r="C2" s="9" t="s">
        <v>9</v>
      </c>
      <c r="D2" s="10">
        <v>46007</v>
      </c>
      <c r="E2" s="10">
        <v>46008</v>
      </c>
      <c r="F2" s="9">
        <v>1</v>
      </c>
      <c r="G2" s="11">
        <f t="shared" ref="G2:G8" si="0">F2*5</f>
        <v>5</v>
      </c>
      <c r="H2" s="19"/>
      <c r="I2" s="12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5"/>
      <c r="AX2" s="15"/>
    </row>
    <row r="3" spans="1:50">
      <c r="A3" s="61"/>
      <c r="B3" s="9" t="s">
        <v>10</v>
      </c>
      <c r="C3" s="9" t="s">
        <v>11</v>
      </c>
      <c r="D3" s="10">
        <v>46007</v>
      </c>
      <c r="E3" s="16">
        <v>46009</v>
      </c>
      <c r="F3" s="9">
        <v>2</v>
      </c>
      <c r="G3" s="11">
        <f t="shared" si="0"/>
        <v>10</v>
      </c>
      <c r="H3" s="19"/>
      <c r="I3" s="12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7"/>
      <c r="AX3" s="17"/>
    </row>
    <row r="4" spans="1:50">
      <c r="A4" s="61"/>
      <c r="B4" s="9" t="s">
        <v>12</v>
      </c>
      <c r="C4" s="9" t="s">
        <v>13</v>
      </c>
      <c r="D4" s="10">
        <v>46007</v>
      </c>
      <c r="E4" s="16">
        <v>46010</v>
      </c>
      <c r="F4" s="9">
        <v>5</v>
      </c>
      <c r="G4" s="11">
        <f t="shared" si="0"/>
        <v>25</v>
      </c>
      <c r="H4" s="19"/>
      <c r="I4" s="12"/>
      <c r="J4" s="13"/>
      <c r="K4" s="13"/>
      <c r="L4" s="13"/>
      <c r="M4" s="1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7"/>
      <c r="AX4" s="17"/>
    </row>
    <row r="5" spans="1:50">
      <c r="A5" s="61"/>
      <c r="B5" s="9" t="s">
        <v>14</v>
      </c>
      <c r="C5" s="9" t="s">
        <v>15</v>
      </c>
      <c r="D5" s="10">
        <v>46008</v>
      </c>
      <c r="E5" s="16">
        <v>46011</v>
      </c>
      <c r="F5" s="9">
        <v>3</v>
      </c>
      <c r="G5" s="11">
        <f t="shared" si="0"/>
        <v>15</v>
      </c>
      <c r="H5" s="19"/>
      <c r="I5" s="12"/>
      <c r="J5" s="14"/>
      <c r="K5" s="13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7"/>
      <c r="AX5" s="17"/>
    </row>
    <row r="6" spans="1:50">
      <c r="A6" s="61"/>
      <c r="B6" s="9" t="s">
        <v>16</v>
      </c>
      <c r="C6" s="9" t="s">
        <v>17</v>
      </c>
      <c r="D6" s="10">
        <v>46007</v>
      </c>
      <c r="E6" s="16">
        <v>46010</v>
      </c>
      <c r="F6" s="9">
        <v>3</v>
      </c>
      <c r="G6" s="11">
        <f t="shared" si="0"/>
        <v>15</v>
      </c>
      <c r="H6" s="19"/>
      <c r="I6" s="12"/>
      <c r="J6" s="13"/>
      <c r="K6" s="13"/>
      <c r="L6" s="13"/>
      <c r="M6" s="13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7"/>
      <c r="AX6" s="17"/>
    </row>
    <row r="7" spans="1:50">
      <c r="A7" s="55" t="s">
        <v>18</v>
      </c>
      <c r="B7" s="9" t="s">
        <v>19</v>
      </c>
      <c r="C7" s="9" t="s">
        <v>20</v>
      </c>
      <c r="D7" s="10">
        <v>46017</v>
      </c>
      <c r="E7" s="16">
        <v>46020</v>
      </c>
      <c r="F7" s="9">
        <v>3</v>
      </c>
      <c r="G7" s="11">
        <f t="shared" si="0"/>
        <v>15</v>
      </c>
      <c r="H7" s="19"/>
      <c r="I7" s="12"/>
      <c r="J7" s="14"/>
      <c r="K7" s="14"/>
      <c r="L7" s="14"/>
      <c r="M7" s="14"/>
      <c r="N7" s="14"/>
      <c r="O7" s="14"/>
      <c r="P7" s="14"/>
      <c r="Q7" s="14"/>
      <c r="R7" s="14"/>
      <c r="S7" s="14"/>
      <c r="T7" s="18"/>
      <c r="U7" s="18"/>
      <c r="V7" s="18"/>
      <c r="W7" s="18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7"/>
      <c r="AX7" s="17"/>
    </row>
    <row r="8" spans="1:50">
      <c r="A8" s="61"/>
      <c r="B8" s="9" t="s">
        <v>21</v>
      </c>
      <c r="C8" s="9" t="s">
        <v>22</v>
      </c>
      <c r="D8" s="10">
        <v>46018</v>
      </c>
      <c r="E8" s="16">
        <v>46023</v>
      </c>
      <c r="F8" s="9">
        <v>5</v>
      </c>
      <c r="G8" s="11">
        <f t="shared" si="0"/>
        <v>25</v>
      </c>
      <c r="H8" s="19"/>
      <c r="I8" s="12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8"/>
      <c r="V8" s="18"/>
      <c r="W8" s="18"/>
      <c r="X8" s="18"/>
      <c r="Y8" s="18"/>
      <c r="Z8" s="18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7"/>
      <c r="AX8" s="17"/>
    </row>
    <row r="9" spans="1:50">
      <c r="A9" s="61"/>
      <c r="B9" s="9" t="s">
        <v>23</v>
      </c>
      <c r="C9" s="9" t="s">
        <v>24</v>
      </c>
      <c r="D9" s="10">
        <v>46019</v>
      </c>
      <c r="E9" s="16">
        <v>46027</v>
      </c>
      <c r="F9" s="9">
        <v>8</v>
      </c>
      <c r="G9" s="11">
        <f t="shared" ref="G9:G10" si="1">F9*6</f>
        <v>48</v>
      </c>
      <c r="H9" s="19"/>
      <c r="I9" s="1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8"/>
      <c r="W9" s="18"/>
      <c r="X9" s="18"/>
      <c r="Y9" s="18"/>
      <c r="Z9" s="18"/>
      <c r="AA9" s="18"/>
      <c r="AB9" s="18"/>
      <c r="AC9" s="18"/>
      <c r="AD9" s="18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7"/>
      <c r="AX9" s="17"/>
    </row>
    <row r="10" spans="1:50">
      <c r="A10" s="61"/>
      <c r="B10" s="9" t="s">
        <v>25</v>
      </c>
      <c r="C10" s="9" t="s">
        <v>15</v>
      </c>
      <c r="D10" s="10">
        <v>46020</v>
      </c>
      <c r="E10" s="16">
        <v>46027</v>
      </c>
      <c r="F10" s="9">
        <v>8</v>
      </c>
      <c r="G10" s="11">
        <f t="shared" si="1"/>
        <v>48</v>
      </c>
      <c r="H10" s="19"/>
      <c r="I10" s="12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8"/>
      <c r="X10" s="18"/>
      <c r="Y10" s="18"/>
      <c r="Z10" s="18"/>
      <c r="AA10" s="18"/>
      <c r="AB10" s="18"/>
      <c r="AC10" s="18"/>
      <c r="AD10" s="18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7"/>
      <c r="AX10" s="17"/>
    </row>
    <row r="11" spans="1:50">
      <c r="A11" s="61"/>
      <c r="B11" s="9" t="s">
        <v>26</v>
      </c>
      <c r="C11" s="9" t="s">
        <v>27</v>
      </c>
      <c r="D11" s="10">
        <v>46022</v>
      </c>
      <c r="E11" s="16">
        <v>46030</v>
      </c>
      <c r="F11" s="9">
        <v>6</v>
      </c>
      <c r="G11" s="11">
        <f t="shared" ref="G11:G13" si="2">F11*5</f>
        <v>30</v>
      </c>
      <c r="H11" s="19"/>
      <c r="I11" s="12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8"/>
      <c r="Z11" s="18"/>
      <c r="AA11" s="18"/>
      <c r="AB11" s="18"/>
      <c r="AC11" s="18"/>
      <c r="AD11" s="18"/>
      <c r="AE11" s="18"/>
      <c r="AF11" s="18"/>
      <c r="AG11" s="18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7"/>
      <c r="AX11" s="17"/>
    </row>
    <row r="12" spans="1:50">
      <c r="A12" s="20" t="s">
        <v>28</v>
      </c>
      <c r="B12" s="9" t="s">
        <v>29</v>
      </c>
      <c r="C12" s="9" t="s">
        <v>30</v>
      </c>
      <c r="D12" s="10">
        <v>46033</v>
      </c>
      <c r="E12" s="16">
        <v>46043</v>
      </c>
      <c r="F12" s="9">
        <v>10</v>
      </c>
      <c r="G12" s="11">
        <f t="shared" si="2"/>
        <v>50</v>
      </c>
      <c r="H12" s="19"/>
      <c r="I12" s="12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14"/>
      <c r="AV12" s="14"/>
      <c r="AW12" s="17"/>
      <c r="AX12" s="17"/>
    </row>
    <row r="13" spans="1:50">
      <c r="A13" s="54" t="s">
        <v>31</v>
      </c>
      <c r="B13" s="9" t="s">
        <v>32</v>
      </c>
      <c r="C13" s="9" t="s">
        <v>33</v>
      </c>
      <c r="D13" s="16">
        <v>46027</v>
      </c>
      <c r="E13" s="16">
        <v>46032</v>
      </c>
      <c r="F13" s="9">
        <v>5</v>
      </c>
      <c r="G13" s="11">
        <f t="shared" si="2"/>
        <v>25</v>
      </c>
      <c r="H13" s="19"/>
      <c r="I13" s="1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21"/>
      <c r="AE13" s="21"/>
      <c r="AF13" s="21"/>
      <c r="AG13" s="21"/>
      <c r="AH13" s="21"/>
      <c r="AI13" s="21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7"/>
      <c r="AX13" s="17"/>
    </row>
    <row r="14" spans="1:50">
      <c r="A14" s="61"/>
      <c r="B14" s="9" t="s">
        <v>34</v>
      </c>
      <c r="C14" s="9" t="s">
        <v>35</v>
      </c>
      <c r="D14" s="16">
        <v>46028</v>
      </c>
      <c r="E14" s="16">
        <v>46037</v>
      </c>
      <c r="F14" s="9">
        <v>9</v>
      </c>
      <c r="G14" s="11">
        <f t="shared" ref="G14:G16" si="3">F14*6</f>
        <v>54</v>
      </c>
      <c r="H14" s="19"/>
      <c r="I14" s="12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14"/>
      <c r="AP14" s="14"/>
      <c r="AQ14" s="14"/>
      <c r="AR14" s="14"/>
      <c r="AS14" s="14"/>
      <c r="AT14" s="14"/>
      <c r="AU14" s="14"/>
      <c r="AV14" s="14"/>
      <c r="AW14" s="17"/>
      <c r="AX14" s="17"/>
    </row>
    <row r="15" spans="1:50">
      <c r="A15" s="61"/>
      <c r="B15" s="9" t="s">
        <v>36</v>
      </c>
      <c r="C15" s="9" t="s">
        <v>37</v>
      </c>
      <c r="D15" s="16">
        <v>46029</v>
      </c>
      <c r="E15" s="16">
        <v>46038</v>
      </c>
      <c r="F15" s="9">
        <v>9</v>
      </c>
      <c r="G15" s="11">
        <f t="shared" si="3"/>
        <v>54</v>
      </c>
      <c r="H15" s="19"/>
      <c r="I15" s="12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14"/>
      <c r="AQ15" s="14"/>
      <c r="AR15" s="14"/>
      <c r="AS15" s="14"/>
      <c r="AT15" s="14"/>
      <c r="AU15" s="14"/>
      <c r="AV15" s="14"/>
      <c r="AW15" s="17"/>
      <c r="AX15" s="17"/>
    </row>
    <row r="16" spans="1:50">
      <c r="A16" s="61"/>
      <c r="B16" s="9" t="s">
        <v>38</v>
      </c>
      <c r="C16" s="9" t="s">
        <v>39</v>
      </c>
      <c r="D16" s="16">
        <v>46031</v>
      </c>
      <c r="E16" s="16">
        <v>46039</v>
      </c>
      <c r="F16" s="9">
        <v>8</v>
      </c>
      <c r="G16" s="11">
        <f t="shared" si="3"/>
        <v>48</v>
      </c>
      <c r="H16" s="19"/>
      <c r="I16" s="12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21"/>
      <c r="AI16" s="21"/>
      <c r="AJ16" s="21"/>
      <c r="AK16" s="21"/>
      <c r="AL16" s="21"/>
      <c r="AM16" s="21"/>
      <c r="AN16" s="21"/>
      <c r="AO16" s="21"/>
      <c r="AP16" s="21"/>
      <c r="AQ16" s="14"/>
      <c r="AR16" s="14"/>
      <c r="AS16" s="14"/>
      <c r="AT16" s="14"/>
      <c r="AU16" s="14"/>
      <c r="AV16" s="14"/>
      <c r="AW16" s="17"/>
      <c r="AX16" s="17"/>
    </row>
    <row r="17" spans="1:50">
      <c r="A17" s="22" t="s">
        <v>40</v>
      </c>
      <c r="B17" s="9" t="s">
        <v>41</v>
      </c>
      <c r="C17" s="9" t="s">
        <v>42</v>
      </c>
      <c r="D17" s="16">
        <v>46033</v>
      </c>
      <c r="E17" s="16">
        <v>46040</v>
      </c>
      <c r="F17" s="9">
        <v>7</v>
      </c>
      <c r="G17" s="11">
        <f t="shared" ref="G17:G18" si="4">F17*5</f>
        <v>35</v>
      </c>
      <c r="H17" s="19"/>
      <c r="I17" s="1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23"/>
      <c r="AK17" s="23"/>
      <c r="AL17" s="23"/>
      <c r="AM17" s="23"/>
      <c r="AN17" s="23"/>
      <c r="AO17" s="23"/>
      <c r="AP17" s="23"/>
      <c r="AQ17" s="23"/>
      <c r="AR17" s="14"/>
      <c r="AS17" s="14"/>
      <c r="AT17" s="14"/>
      <c r="AU17" s="14"/>
      <c r="AV17" s="14"/>
      <c r="AW17" s="17"/>
      <c r="AX17" s="17"/>
    </row>
    <row r="18" spans="1:50">
      <c r="A18" s="22" t="s">
        <v>43</v>
      </c>
      <c r="B18" s="9" t="s">
        <v>44</v>
      </c>
      <c r="C18" s="57" t="s">
        <v>17</v>
      </c>
      <c r="D18" s="16">
        <v>46039</v>
      </c>
      <c r="E18" s="16">
        <v>46045</v>
      </c>
      <c r="F18" s="9">
        <v>6</v>
      </c>
      <c r="G18" s="11">
        <f t="shared" si="4"/>
        <v>30</v>
      </c>
      <c r="H18" s="19"/>
      <c r="I18" s="12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23"/>
      <c r="AQ18" s="23"/>
      <c r="AR18" s="23"/>
      <c r="AS18" s="23"/>
      <c r="AT18" s="23"/>
      <c r="AU18" s="23"/>
      <c r="AV18" s="23"/>
      <c r="AW18" s="17"/>
      <c r="AX18" s="17"/>
    </row>
    <row r="19" spans="1:50">
      <c r="A19" s="53" t="s">
        <v>45</v>
      </c>
      <c r="B19" s="24" t="s">
        <v>46</v>
      </c>
      <c r="C19" s="58"/>
      <c r="D19" s="25">
        <v>46010</v>
      </c>
      <c r="E19" s="26">
        <v>46010</v>
      </c>
      <c r="F19" s="59"/>
      <c r="G19" s="62"/>
      <c r="H19" s="19"/>
      <c r="I19" s="12"/>
      <c r="J19" s="14"/>
      <c r="K19" s="14"/>
      <c r="L19" s="14"/>
      <c r="M19" s="27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7"/>
      <c r="AX19" s="17"/>
    </row>
    <row r="20" spans="1:50">
      <c r="A20" s="61"/>
      <c r="B20" s="24" t="s">
        <v>47</v>
      </c>
      <c r="C20" s="58"/>
      <c r="D20" s="26">
        <v>46029</v>
      </c>
      <c r="E20" s="26">
        <v>46029</v>
      </c>
      <c r="F20" s="58"/>
      <c r="G20" s="62"/>
      <c r="H20" s="19"/>
      <c r="I20" s="12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27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7"/>
      <c r="AX20" s="17"/>
    </row>
    <row r="21" spans="1:50">
      <c r="A21" s="61"/>
      <c r="B21" s="24" t="s">
        <v>48</v>
      </c>
      <c r="C21" s="58"/>
      <c r="D21" s="26">
        <v>46035</v>
      </c>
      <c r="E21" s="26">
        <v>46035</v>
      </c>
      <c r="F21" s="58"/>
      <c r="G21" s="62"/>
      <c r="H21" s="19"/>
      <c r="I21" s="12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27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7"/>
      <c r="AX21" s="17"/>
    </row>
    <row r="22" spans="1:50">
      <c r="A22" s="61"/>
      <c r="B22" s="24" t="s">
        <v>49</v>
      </c>
      <c r="C22" s="58"/>
      <c r="D22" s="26">
        <v>46045</v>
      </c>
      <c r="E22" s="26">
        <v>46045</v>
      </c>
      <c r="F22" s="58"/>
      <c r="G22" s="62"/>
      <c r="H22" s="19"/>
      <c r="I22" s="12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27"/>
      <c r="AW22" s="17"/>
      <c r="AX22" s="17"/>
    </row>
    <row r="23" spans="1:50" ht="15.75" customHeight="1">
      <c r="A23" s="56" t="s">
        <v>50</v>
      </c>
      <c r="B23" s="24" t="s">
        <v>51</v>
      </c>
      <c r="C23" s="57" t="s">
        <v>27</v>
      </c>
      <c r="D23" s="10">
        <v>46007</v>
      </c>
      <c r="E23" s="16">
        <v>46041</v>
      </c>
      <c r="F23" s="9">
        <v>15</v>
      </c>
      <c r="G23" s="11">
        <v>8</v>
      </c>
      <c r="H23" s="47"/>
      <c r="I23" s="47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47"/>
      <c r="AT23" s="47"/>
      <c r="AU23" s="47"/>
      <c r="AV23" s="47"/>
      <c r="AW23" s="17"/>
      <c r="AX23" s="17"/>
    </row>
    <row r="24" spans="1:50" ht="15.75" customHeight="1">
      <c r="A24" s="63"/>
      <c r="B24" s="29" t="s">
        <v>52</v>
      </c>
      <c r="C24" s="58"/>
      <c r="D24" s="10">
        <v>46026</v>
      </c>
      <c r="E24" s="16">
        <v>46028</v>
      </c>
      <c r="F24" s="30">
        <v>2</v>
      </c>
      <c r="G24" s="11">
        <f t="shared" ref="G24:G25" si="5">F24*4</f>
        <v>8</v>
      </c>
      <c r="H24" s="31"/>
      <c r="I24" s="32"/>
      <c r="J24" s="17"/>
      <c r="K24" s="17"/>
      <c r="L24" s="17"/>
      <c r="M24" s="17"/>
      <c r="N24" s="17"/>
      <c r="O24" s="17"/>
      <c r="P24" s="33"/>
      <c r="Q24" s="33"/>
      <c r="R24" s="17"/>
      <c r="S24" s="33"/>
      <c r="T24" s="33"/>
      <c r="U24" s="33"/>
      <c r="V24" s="33"/>
      <c r="W24" s="33"/>
      <c r="X24" s="33"/>
      <c r="Y24" s="17"/>
      <c r="Z24" s="33"/>
      <c r="AA24" s="33"/>
      <c r="AB24" s="33"/>
      <c r="AC24" s="28"/>
      <c r="AD24" s="28"/>
      <c r="AE24" s="28"/>
      <c r="AF24" s="17"/>
      <c r="AG24" s="17"/>
      <c r="AH24" s="17"/>
      <c r="AI24" s="17"/>
      <c r="AJ24" s="17"/>
      <c r="AK24" s="33"/>
      <c r="AL24" s="33"/>
      <c r="AM24" s="17"/>
      <c r="AN24" s="17"/>
      <c r="AO24" s="17"/>
      <c r="AP24" s="17"/>
      <c r="AQ24" s="17"/>
      <c r="AR24" s="33"/>
      <c r="AS24" s="33"/>
      <c r="AT24" s="17"/>
      <c r="AU24" s="17"/>
      <c r="AV24" s="17"/>
      <c r="AW24" s="17"/>
      <c r="AX24" s="17"/>
    </row>
    <row r="25" spans="1:50" ht="15.75" customHeight="1">
      <c r="A25" s="64"/>
      <c r="B25" s="34" t="s">
        <v>53</v>
      </c>
      <c r="C25" s="65"/>
      <c r="D25" s="35">
        <v>46032</v>
      </c>
      <c r="E25" s="36">
        <v>46034</v>
      </c>
      <c r="F25" s="37">
        <v>2</v>
      </c>
      <c r="G25" s="38">
        <f t="shared" si="5"/>
        <v>8</v>
      </c>
      <c r="H25" s="31"/>
      <c r="I25" s="32"/>
      <c r="J25" s="17"/>
      <c r="K25" s="17"/>
      <c r="L25" s="17"/>
      <c r="M25" s="17"/>
      <c r="N25" s="17"/>
      <c r="O25" s="17"/>
      <c r="P25" s="33"/>
      <c r="Q25" s="33"/>
      <c r="R25" s="17"/>
      <c r="S25" s="33"/>
      <c r="T25" s="33"/>
      <c r="U25" s="33"/>
      <c r="V25" s="33"/>
      <c r="W25" s="33"/>
      <c r="X25" s="33"/>
      <c r="Y25" s="17"/>
      <c r="Z25" s="33"/>
      <c r="AA25" s="33"/>
      <c r="AB25" s="33"/>
      <c r="AC25" s="33"/>
      <c r="AD25" s="33"/>
      <c r="AE25" s="33"/>
      <c r="AF25" s="17"/>
      <c r="AG25" s="17"/>
      <c r="AH25" s="17"/>
      <c r="AI25" s="28"/>
      <c r="AJ25" s="28"/>
      <c r="AK25" s="28"/>
      <c r="AL25" s="33"/>
      <c r="AM25" s="17"/>
      <c r="AN25" s="17"/>
      <c r="AO25" s="17"/>
      <c r="AP25" s="17"/>
      <c r="AQ25" s="17"/>
      <c r="AR25" s="33"/>
      <c r="AS25" s="33"/>
      <c r="AT25" s="17"/>
      <c r="AU25" s="17"/>
      <c r="AV25" s="17"/>
      <c r="AW25" s="17"/>
      <c r="AX25" s="17"/>
    </row>
    <row r="26" spans="1:50" ht="15.75" customHeight="1">
      <c r="A26" s="39"/>
      <c r="B26" s="40"/>
      <c r="C26" s="40"/>
      <c r="D26" s="40"/>
      <c r="E26" s="41"/>
      <c r="F26" s="41"/>
      <c r="G26" s="39"/>
      <c r="H26" s="32"/>
      <c r="I26" s="32"/>
      <c r="J26" s="42"/>
      <c r="K26" s="17"/>
      <c r="L26" s="17"/>
      <c r="M26" s="17"/>
      <c r="N26" s="17"/>
      <c r="O26" s="17"/>
      <c r="P26" s="33"/>
      <c r="Q26" s="33"/>
      <c r="R26" s="17"/>
      <c r="S26" s="33"/>
      <c r="T26" s="33"/>
      <c r="U26" s="33"/>
      <c r="V26" s="33"/>
      <c r="W26" s="33"/>
      <c r="X26" s="33"/>
      <c r="Y26" s="17"/>
      <c r="Z26" s="33"/>
      <c r="AA26" s="33"/>
      <c r="AB26" s="33"/>
      <c r="AC26" s="33"/>
      <c r="AD26" s="33"/>
      <c r="AE26" s="33"/>
      <c r="AF26" s="17"/>
      <c r="AG26" s="17"/>
      <c r="AH26" s="17"/>
      <c r="AI26" s="17"/>
      <c r="AJ26" s="17"/>
      <c r="AK26" s="33"/>
      <c r="AL26" s="33"/>
      <c r="AM26" s="17"/>
      <c r="AN26" s="17"/>
      <c r="AO26" s="17"/>
      <c r="AP26" s="17"/>
      <c r="AQ26" s="17"/>
      <c r="AR26" s="33"/>
      <c r="AS26" s="33"/>
      <c r="AT26" s="17"/>
      <c r="AU26" s="17"/>
      <c r="AV26" s="17"/>
      <c r="AW26" s="17"/>
      <c r="AX26" s="17"/>
    </row>
    <row r="27" spans="1:50" ht="15.75" customHeight="1">
      <c r="A27" s="32"/>
      <c r="B27" s="42"/>
      <c r="C27" s="42"/>
      <c r="D27" s="42"/>
      <c r="E27" s="43"/>
      <c r="F27" s="43"/>
      <c r="G27" s="32"/>
      <c r="H27" s="32"/>
      <c r="I27" s="32"/>
      <c r="J27" s="42"/>
      <c r="K27" s="17"/>
      <c r="L27" s="17"/>
      <c r="M27" s="17"/>
      <c r="N27" s="17"/>
      <c r="O27" s="17"/>
      <c r="P27" s="33"/>
      <c r="Q27" s="33"/>
      <c r="R27" s="17"/>
      <c r="S27" s="33"/>
      <c r="T27" s="33"/>
      <c r="U27" s="33"/>
      <c r="V27" s="33"/>
      <c r="W27" s="33"/>
      <c r="X27" s="33"/>
      <c r="Y27" s="17"/>
      <c r="Z27" s="33"/>
      <c r="AA27" s="33"/>
      <c r="AB27" s="33"/>
      <c r="AC27" s="33"/>
      <c r="AD27" s="33"/>
      <c r="AE27" s="33"/>
      <c r="AF27" s="17"/>
      <c r="AG27" s="17"/>
      <c r="AH27" s="17"/>
      <c r="AI27" s="17"/>
      <c r="AJ27" s="17"/>
      <c r="AK27" s="33"/>
      <c r="AL27" s="33"/>
      <c r="AM27" s="17"/>
      <c r="AN27" s="17"/>
      <c r="AO27" s="17"/>
      <c r="AP27" s="17"/>
      <c r="AQ27" s="17"/>
      <c r="AR27" s="33"/>
      <c r="AS27" s="33"/>
      <c r="AT27" s="17"/>
      <c r="AU27" s="17"/>
      <c r="AV27" s="17"/>
      <c r="AW27" s="17"/>
      <c r="AX27" s="17"/>
    </row>
    <row r="28" spans="1:50" ht="15.75" customHeight="1">
      <c r="A28" s="32"/>
      <c r="B28" s="42"/>
      <c r="C28" s="42"/>
      <c r="D28" s="42"/>
      <c r="E28" s="43"/>
      <c r="F28" s="43"/>
      <c r="G28" s="32"/>
      <c r="H28" s="32"/>
      <c r="I28" s="32"/>
      <c r="J28" s="42"/>
      <c r="K28" s="17"/>
      <c r="L28" s="17"/>
      <c r="M28" s="17"/>
      <c r="N28" s="17"/>
      <c r="O28" s="17"/>
      <c r="P28" s="33"/>
      <c r="Q28" s="33"/>
      <c r="R28" s="17"/>
      <c r="S28" s="33"/>
      <c r="T28" s="33"/>
      <c r="U28" s="33"/>
      <c r="V28" s="33"/>
      <c r="W28" s="33"/>
      <c r="X28" s="33"/>
      <c r="Y28" s="17"/>
      <c r="Z28" s="33"/>
      <c r="AA28" s="33"/>
      <c r="AB28" s="33"/>
      <c r="AC28" s="33"/>
      <c r="AD28" s="33"/>
      <c r="AE28" s="33"/>
      <c r="AF28" s="17"/>
      <c r="AG28" s="17"/>
      <c r="AH28" s="17"/>
      <c r="AI28" s="17"/>
      <c r="AJ28" s="17"/>
      <c r="AK28" s="33"/>
      <c r="AL28" s="33"/>
      <c r="AM28" s="17"/>
      <c r="AN28" s="17"/>
      <c r="AO28" s="17"/>
      <c r="AP28" s="17"/>
      <c r="AQ28" s="17"/>
      <c r="AR28" s="33"/>
      <c r="AS28" s="33"/>
      <c r="AT28" s="17"/>
      <c r="AU28" s="17"/>
      <c r="AV28" s="17"/>
      <c r="AW28" s="17"/>
      <c r="AX28" s="17"/>
    </row>
    <row r="29" spans="1:50" ht="15.75" customHeight="1">
      <c r="A29" s="32"/>
      <c r="B29" s="42"/>
      <c r="C29" s="42"/>
      <c r="D29" s="42"/>
      <c r="E29" s="43"/>
      <c r="F29" s="43"/>
      <c r="G29" s="32"/>
      <c r="H29" s="32"/>
      <c r="I29" s="32"/>
      <c r="J29" s="42"/>
      <c r="K29" s="17"/>
      <c r="L29" s="17"/>
      <c r="M29" s="17"/>
      <c r="N29" s="17"/>
      <c r="O29" s="17"/>
      <c r="P29" s="33"/>
      <c r="Q29" s="33"/>
      <c r="R29" s="17"/>
      <c r="S29" s="33"/>
      <c r="T29" s="33"/>
      <c r="U29" s="33"/>
      <c r="V29" s="33"/>
      <c r="W29" s="33"/>
      <c r="X29" s="33"/>
      <c r="Y29" s="17"/>
      <c r="Z29" s="33"/>
      <c r="AA29" s="33"/>
      <c r="AB29" s="33"/>
      <c r="AC29" s="33"/>
      <c r="AD29" s="33"/>
      <c r="AE29" s="33"/>
      <c r="AF29" s="17"/>
      <c r="AG29" s="17"/>
      <c r="AH29" s="17"/>
      <c r="AI29" s="17"/>
      <c r="AJ29" s="17"/>
      <c r="AK29" s="33"/>
      <c r="AL29" s="33"/>
      <c r="AM29" s="17"/>
      <c r="AN29" s="17"/>
      <c r="AO29" s="17"/>
      <c r="AP29" s="17"/>
      <c r="AQ29" s="17"/>
      <c r="AR29" s="33"/>
      <c r="AS29" s="33"/>
      <c r="AT29" s="17"/>
      <c r="AU29" s="17"/>
      <c r="AV29" s="17"/>
      <c r="AW29" s="17"/>
      <c r="AX29" s="17"/>
    </row>
    <row r="30" spans="1:50" ht="15.75" customHeight="1">
      <c r="A30" s="32"/>
      <c r="B30" s="42"/>
      <c r="C30" s="42"/>
      <c r="D30" s="42"/>
      <c r="E30" s="43"/>
      <c r="F30" s="43"/>
      <c r="G30" s="32"/>
      <c r="H30" s="32"/>
      <c r="I30" s="32"/>
      <c r="J30" s="42"/>
      <c r="K30" s="17"/>
      <c r="L30" s="17"/>
      <c r="M30" s="17"/>
      <c r="N30" s="17"/>
      <c r="O30" s="17"/>
      <c r="P30" s="33"/>
      <c r="Q30" s="33"/>
      <c r="R30" s="17"/>
      <c r="S30" s="33"/>
      <c r="T30" s="33"/>
      <c r="U30" s="33"/>
      <c r="V30" s="33"/>
      <c r="W30" s="33"/>
      <c r="X30" s="33"/>
      <c r="Y30" s="17"/>
      <c r="Z30" s="33"/>
      <c r="AA30" s="33"/>
      <c r="AB30" s="33"/>
      <c r="AC30" s="33"/>
      <c r="AD30" s="33"/>
      <c r="AE30" s="33"/>
      <c r="AF30" s="17"/>
      <c r="AG30" s="17"/>
      <c r="AH30" s="17"/>
      <c r="AI30" s="17"/>
      <c r="AJ30" s="17"/>
      <c r="AK30" s="33"/>
      <c r="AL30" s="33"/>
      <c r="AM30" s="17"/>
      <c r="AN30" s="17"/>
      <c r="AO30" s="17"/>
      <c r="AP30" s="17"/>
      <c r="AQ30" s="17"/>
      <c r="AR30" s="33"/>
      <c r="AS30" s="33"/>
      <c r="AT30" s="17"/>
      <c r="AU30" s="17"/>
      <c r="AV30" s="17"/>
      <c r="AW30" s="17"/>
      <c r="AX30" s="17"/>
    </row>
    <row r="31" spans="1:50" ht="15.75" customHeight="1">
      <c r="A31" s="32"/>
      <c r="B31" s="42"/>
      <c r="C31" s="42"/>
      <c r="D31" s="42"/>
      <c r="E31" s="43"/>
      <c r="F31" s="43"/>
      <c r="G31" s="32"/>
      <c r="H31" s="32"/>
      <c r="I31" s="32"/>
      <c r="J31" s="42"/>
      <c r="K31" s="17"/>
      <c r="L31" s="17"/>
      <c r="M31" s="17"/>
      <c r="N31" s="17"/>
      <c r="O31" s="17"/>
      <c r="P31" s="33"/>
      <c r="Q31" s="33"/>
      <c r="R31" s="17"/>
      <c r="S31" s="33"/>
      <c r="T31" s="33"/>
      <c r="U31" s="33"/>
      <c r="V31" s="33"/>
      <c r="W31" s="33"/>
      <c r="X31" s="33"/>
      <c r="Y31" s="17"/>
      <c r="Z31" s="33"/>
      <c r="AA31" s="33"/>
      <c r="AB31" s="33"/>
      <c r="AC31" s="33"/>
      <c r="AD31" s="33"/>
      <c r="AE31" s="33"/>
      <c r="AF31" s="17"/>
      <c r="AG31" s="17"/>
      <c r="AH31" s="17"/>
      <c r="AI31" s="17"/>
      <c r="AJ31" s="17"/>
      <c r="AK31" s="33"/>
      <c r="AL31" s="33"/>
      <c r="AM31" s="17"/>
      <c r="AN31" s="17"/>
      <c r="AO31" s="17"/>
      <c r="AP31" s="17"/>
      <c r="AQ31" s="17"/>
      <c r="AR31" s="33"/>
      <c r="AS31" s="33"/>
      <c r="AT31" s="17"/>
      <c r="AU31" s="17"/>
      <c r="AV31" s="17"/>
      <c r="AW31" s="17"/>
      <c r="AX31" s="17"/>
    </row>
    <row r="32" spans="1:50" ht="15.75" customHeight="1">
      <c r="A32" s="32"/>
      <c r="B32" s="42"/>
      <c r="C32" s="42"/>
      <c r="D32" s="42"/>
      <c r="E32" s="43"/>
      <c r="F32" s="43"/>
      <c r="G32" s="32"/>
      <c r="H32" s="32"/>
      <c r="I32" s="32"/>
      <c r="J32" s="42"/>
      <c r="K32" s="17"/>
      <c r="L32" s="17"/>
      <c r="M32" s="17"/>
      <c r="N32" s="17"/>
      <c r="O32" s="17"/>
      <c r="P32" s="33"/>
      <c r="Q32" s="33"/>
      <c r="R32" s="17"/>
      <c r="S32" s="33"/>
      <c r="T32" s="33"/>
      <c r="U32" s="33"/>
      <c r="V32" s="33"/>
      <c r="W32" s="33"/>
      <c r="X32" s="33"/>
      <c r="Y32" s="17"/>
      <c r="Z32" s="33"/>
      <c r="AA32" s="33"/>
      <c r="AB32" s="33"/>
      <c r="AC32" s="33"/>
      <c r="AD32" s="33"/>
      <c r="AE32" s="33"/>
      <c r="AF32" s="17"/>
      <c r="AG32" s="17"/>
      <c r="AH32" s="17"/>
      <c r="AI32" s="17"/>
      <c r="AJ32" s="17"/>
      <c r="AK32" s="33"/>
      <c r="AL32" s="33"/>
      <c r="AM32" s="17"/>
      <c r="AN32" s="17"/>
      <c r="AO32" s="17"/>
      <c r="AP32" s="17"/>
      <c r="AQ32" s="17"/>
      <c r="AR32" s="33"/>
      <c r="AS32" s="33"/>
      <c r="AT32" s="17"/>
      <c r="AU32" s="17"/>
      <c r="AV32" s="17"/>
      <c r="AW32" s="17"/>
      <c r="AX32" s="17"/>
    </row>
    <row r="33" spans="1:50" ht="15.75" customHeight="1">
      <c r="A33" s="32"/>
      <c r="B33" s="42"/>
      <c r="C33" s="42"/>
      <c r="D33" s="42"/>
      <c r="E33" s="43"/>
      <c r="F33" s="43"/>
      <c r="G33" s="32"/>
      <c r="H33" s="32"/>
      <c r="I33" s="32"/>
      <c r="J33" s="42"/>
      <c r="K33" s="17"/>
      <c r="L33" s="17"/>
      <c r="M33" s="17"/>
      <c r="N33" s="17"/>
      <c r="O33" s="17"/>
      <c r="P33" s="33"/>
      <c r="Q33" s="33"/>
      <c r="R33" s="17"/>
      <c r="S33" s="33"/>
      <c r="T33" s="33"/>
      <c r="U33" s="33"/>
      <c r="V33" s="33"/>
      <c r="W33" s="33"/>
      <c r="X33" s="33"/>
      <c r="Y33" s="17"/>
      <c r="Z33" s="33"/>
      <c r="AA33" s="33"/>
      <c r="AB33" s="33"/>
      <c r="AC33" s="33"/>
      <c r="AD33" s="33"/>
      <c r="AE33" s="33"/>
      <c r="AF33" s="17"/>
      <c r="AG33" s="17"/>
      <c r="AH33" s="17"/>
      <c r="AI33" s="17"/>
      <c r="AJ33" s="17"/>
      <c r="AK33" s="33"/>
      <c r="AL33" s="33"/>
      <c r="AM33" s="17"/>
      <c r="AN33" s="17"/>
      <c r="AO33" s="17"/>
      <c r="AP33" s="17"/>
      <c r="AQ33" s="17"/>
      <c r="AR33" s="33"/>
      <c r="AS33" s="33"/>
      <c r="AT33" s="17"/>
      <c r="AU33" s="17"/>
      <c r="AV33" s="17"/>
      <c r="AW33" s="17"/>
      <c r="AX33" s="17"/>
    </row>
    <row r="34" spans="1:50" ht="15.75" customHeight="1">
      <c r="A34" s="32"/>
      <c r="B34" s="42"/>
      <c r="C34" s="42"/>
      <c r="D34" s="42"/>
      <c r="E34" s="43"/>
      <c r="F34" s="43"/>
      <c r="G34" s="32"/>
      <c r="H34" s="32"/>
      <c r="I34" s="32"/>
      <c r="J34" s="42"/>
      <c r="K34" s="17"/>
      <c r="L34" s="17"/>
      <c r="M34" s="17"/>
      <c r="N34" s="17"/>
      <c r="O34" s="17"/>
      <c r="P34" s="33"/>
      <c r="Q34" s="33"/>
      <c r="R34" s="17"/>
      <c r="S34" s="33"/>
      <c r="T34" s="33"/>
      <c r="U34" s="33"/>
      <c r="V34" s="33"/>
      <c r="W34" s="33"/>
      <c r="X34" s="33"/>
      <c r="Y34" s="17"/>
      <c r="Z34" s="33"/>
      <c r="AA34" s="33"/>
      <c r="AB34" s="33"/>
      <c r="AC34" s="33"/>
      <c r="AD34" s="33"/>
      <c r="AE34" s="33"/>
      <c r="AF34" s="17"/>
      <c r="AG34" s="17"/>
      <c r="AH34" s="17"/>
      <c r="AI34" s="17"/>
      <c r="AJ34" s="17"/>
      <c r="AK34" s="33"/>
      <c r="AL34" s="33"/>
      <c r="AM34" s="17"/>
      <c r="AN34" s="17"/>
      <c r="AO34" s="17"/>
      <c r="AP34" s="17"/>
      <c r="AQ34" s="17"/>
      <c r="AR34" s="33"/>
      <c r="AS34" s="33"/>
      <c r="AT34" s="17"/>
      <c r="AU34" s="17"/>
      <c r="AV34" s="17"/>
      <c r="AW34" s="17"/>
      <c r="AX34" s="17"/>
    </row>
    <row r="35" spans="1:50" ht="15.75" customHeight="1">
      <c r="A35" s="32"/>
      <c r="B35" s="42"/>
      <c r="C35" s="42"/>
      <c r="D35" s="42"/>
      <c r="E35" s="43"/>
      <c r="F35" s="43"/>
      <c r="G35" s="32"/>
      <c r="H35" s="32"/>
      <c r="I35" s="32"/>
      <c r="J35" s="42"/>
      <c r="K35" s="17"/>
      <c r="L35" s="17"/>
      <c r="M35" s="17"/>
      <c r="N35" s="17"/>
      <c r="O35" s="17"/>
      <c r="P35" s="33"/>
      <c r="Q35" s="33"/>
      <c r="R35" s="17"/>
      <c r="S35" s="33"/>
      <c r="T35" s="33"/>
      <c r="U35" s="33"/>
      <c r="V35" s="33"/>
      <c r="W35" s="33"/>
      <c r="X35" s="33"/>
      <c r="Y35" s="17"/>
      <c r="Z35" s="33"/>
      <c r="AA35" s="33"/>
      <c r="AB35" s="33"/>
      <c r="AC35" s="33"/>
      <c r="AD35" s="33"/>
      <c r="AE35" s="33"/>
      <c r="AF35" s="17"/>
      <c r="AG35" s="17"/>
      <c r="AH35" s="17"/>
      <c r="AI35" s="17"/>
      <c r="AJ35" s="17"/>
      <c r="AK35" s="33"/>
      <c r="AL35" s="33"/>
      <c r="AM35" s="17"/>
      <c r="AN35" s="17"/>
      <c r="AO35" s="17"/>
      <c r="AP35" s="17"/>
      <c r="AQ35" s="17"/>
      <c r="AR35" s="33"/>
      <c r="AS35" s="33"/>
      <c r="AT35" s="17"/>
      <c r="AU35" s="17"/>
      <c r="AV35" s="17"/>
      <c r="AW35" s="17"/>
      <c r="AX35" s="17"/>
    </row>
    <row r="36" spans="1:50" ht="15.75" customHeight="1">
      <c r="A36" s="32"/>
      <c r="B36" s="42"/>
      <c r="C36" s="42"/>
      <c r="D36" s="42"/>
      <c r="E36" s="43"/>
      <c r="F36" s="43"/>
      <c r="G36" s="32"/>
      <c r="H36" s="32"/>
      <c r="I36" s="32"/>
      <c r="J36" s="42"/>
      <c r="K36" s="17"/>
      <c r="L36" s="17"/>
      <c r="M36" s="17"/>
      <c r="N36" s="17"/>
      <c r="O36" s="17"/>
      <c r="P36" s="33"/>
      <c r="Q36" s="33"/>
      <c r="R36" s="17"/>
      <c r="S36" s="33"/>
      <c r="T36" s="33"/>
      <c r="U36" s="33"/>
      <c r="V36" s="33"/>
      <c r="W36" s="33"/>
      <c r="X36" s="33"/>
      <c r="Y36" s="17"/>
      <c r="Z36" s="33"/>
      <c r="AA36" s="33"/>
      <c r="AB36" s="33"/>
      <c r="AC36" s="33"/>
      <c r="AD36" s="33"/>
      <c r="AE36" s="33"/>
      <c r="AF36" s="17"/>
      <c r="AG36" s="17"/>
      <c r="AH36" s="17"/>
      <c r="AI36" s="17"/>
      <c r="AJ36" s="17"/>
      <c r="AK36" s="33"/>
      <c r="AL36" s="33"/>
      <c r="AM36" s="17"/>
      <c r="AN36" s="17"/>
      <c r="AO36" s="17"/>
      <c r="AP36" s="17"/>
      <c r="AQ36" s="17"/>
      <c r="AR36" s="33"/>
      <c r="AS36" s="33"/>
      <c r="AT36" s="17"/>
      <c r="AU36" s="17"/>
      <c r="AV36" s="17"/>
      <c r="AW36" s="17"/>
      <c r="AX36" s="17"/>
    </row>
    <row r="37" spans="1:50" ht="15.75" customHeight="1">
      <c r="A37" s="32"/>
      <c r="B37" s="42"/>
      <c r="C37" s="42"/>
      <c r="D37" s="42"/>
      <c r="E37" s="43"/>
      <c r="F37" s="43"/>
      <c r="G37" s="32"/>
      <c r="H37" s="32"/>
      <c r="I37" s="32"/>
      <c r="J37" s="42"/>
      <c r="K37" s="17"/>
      <c r="L37" s="17"/>
      <c r="M37" s="17"/>
      <c r="N37" s="17"/>
      <c r="O37" s="17"/>
      <c r="P37" s="33"/>
      <c r="Q37" s="33"/>
      <c r="R37" s="17"/>
      <c r="S37" s="33"/>
      <c r="T37" s="33"/>
      <c r="U37" s="33"/>
      <c r="V37" s="33"/>
      <c r="W37" s="33"/>
      <c r="X37" s="33"/>
      <c r="Y37" s="17"/>
      <c r="Z37" s="33"/>
      <c r="AA37" s="33"/>
      <c r="AB37" s="33"/>
      <c r="AC37" s="33"/>
      <c r="AD37" s="33"/>
      <c r="AE37" s="33"/>
      <c r="AF37" s="17"/>
      <c r="AG37" s="17"/>
      <c r="AH37" s="17"/>
      <c r="AI37" s="17"/>
      <c r="AJ37" s="17"/>
      <c r="AK37" s="33"/>
      <c r="AL37" s="33"/>
      <c r="AM37" s="17"/>
      <c r="AN37" s="17"/>
      <c r="AO37" s="17"/>
      <c r="AP37" s="17"/>
      <c r="AQ37" s="17"/>
      <c r="AR37" s="33"/>
      <c r="AS37" s="33"/>
      <c r="AT37" s="17"/>
      <c r="AU37" s="17"/>
      <c r="AV37" s="17"/>
      <c r="AW37" s="17"/>
      <c r="AX37" s="17"/>
    </row>
    <row r="38" spans="1:50" ht="15.75" customHeight="1">
      <c r="A38" s="32"/>
      <c r="B38" s="42"/>
      <c r="C38" s="42"/>
      <c r="D38" s="42"/>
      <c r="E38" s="43"/>
      <c r="F38" s="43"/>
      <c r="G38" s="32"/>
      <c r="H38" s="32"/>
      <c r="I38" s="32"/>
      <c r="J38" s="42"/>
      <c r="K38" s="17"/>
      <c r="L38" s="17"/>
      <c r="M38" s="17"/>
      <c r="N38" s="17"/>
      <c r="O38" s="17"/>
      <c r="P38" s="33"/>
      <c r="Q38" s="33"/>
      <c r="R38" s="17"/>
      <c r="S38" s="33"/>
      <c r="T38" s="33"/>
      <c r="U38" s="33"/>
      <c r="V38" s="33"/>
      <c r="W38" s="33"/>
      <c r="X38" s="33"/>
      <c r="Y38" s="17"/>
      <c r="Z38" s="33"/>
      <c r="AA38" s="33"/>
      <c r="AB38" s="33"/>
      <c r="AC38" s="33"/>
      <c r="AD38" s="33"/>
      <c r="AE38" s="33"/>
      <c r="AF38" s="17"/>
      <c r="AG38" s="17"/>
      <c r="AH38" s="17"/>
      <c r="AI38" s="17"/>
      <c r="AJ38" s="17"/>
      <c r="AK38" s="33"/>
      <c r="AL38" s="33"/>
      <c r="AM38" s="17"/>
      <c r="AN38" s="17"/>
      <c r="AO38" s="17"/>
      <c r="AP38" s="17"/>
      <c r="AQ38" s="17"/>
      <c r="AR38" s="33"/>
      <c r="AS38" s="33"/>
      <c r="AT38" s="17"/>
      <c r="AU38" s="17"/>
      <c r="AV38" s="17"/>
      <c r="AW38" s="17"/>
      <c r="AX38" s="17"/>
    </row>
    <row r="39" spans="1:50" ht="15.75" customHeight="1">
      <c r="A39" s="32"/>
      <c r="B39" s="42"/>
      <c r="C39" s="42"/>
      <c r="D39" s="42"/>
      <c r="E39" s="43"/>
      <c r="F39" s="43"/>
      <c r="G39" s="32"/>
      <c r="H39" s="32"/>
      <c r="I39" s="32"/>
      <c r="J39" s="42"/>
      <c r="K39" s="17"/>
      <c r="L39" s="17"/>
      <c r="M39" s="17"/>
      <c r="N39" s="17"/>
      <c r="O39" s="17"/>
      <c r="P39" s="33"/>
      <c r="Q39" s="33"/>
      <c r="R39" s="17"/>
      <c r="S39" s="33"/>
      <c r="T39" s="33"/>
      <c r="U39" s="33"/>
      <c r="V39" s="33"/>
      <c r="W39" s="33"/>
      <c r="X39" s="33"/>
      <c r="Y39" s="17"/>
      <c r="Z39" s="33"/>
      <c r="AA39" s="33"/>
      <c r="AB39" s="33"/>
      <c r="AC39" s="33"/>
      <c r="AD39" s="33"/>
      <c r="AE39" s="33"/>
      <c r="AF39" s="17"/>
      <c r="AG39" s="17"/>
      <c r="AH39" s="17"/>
      <c r="AI39" s="17"/>
      <c r="AJ39" s="17"/>
      <c r="AK39" s="33"/>
      <c r="AL39" s="33"/>
      <c r="AM39" s="17"/>
      <c r="AN39" s="17"/>
      <c r="AO39" s="17"/>
      <c r="AP39" s="17"/>
      <c r="AQ39" s="17"/>
      <c r="AR39" s="33"/>
      <c r="AS39" s="33"/>
      <c r="AT39" s="17"/>
      <c r="AU39" s="17"/>
      <c r="AV39" s="17"/>
      <c r="AW39" s="17"/>
      <c r="AX39" s="17"/>
    </row>
    <row r="40" spans="1:50" ht="15.75" customHeight="1">
      <c r="A40" s="32"/>
      <c r="B40" s="42"/>
      <c r="C40" s="42"/>
      <c r="D40" s="42"/>
      <c r="E40" s="43"/>
      <c r="F40" s="43"/>
      <c r="G40" s="32"/>
      <c r="H40" s="32"/>
      <c r="I40" s="32"/>
      <c r="J40" s="42"/>
      <c r="K40" s="17"/>
      <c r="L40" s="17"/>
      <c r="M40" s="17"/>
      <c r="N40" s="17"/>
      <c r="O40" s="17"/>
      <c r="P40" s="33"/>
      <c r="Q40" s="33"/>
      <c r="R40" s="17"/>
      <c r="S40" s="33"/>
      <c r="T40" s="33"/>
      <c r="U40" s="33"/>
      <c r="V40" s="33"/>
      <c r="W40" s="33"/>
      <c r="X40" s="33"/>
      <c r="Y40" s="17"/>
      <c r="Z40" s="33"/>
      <c r="AA40" s="33"/>
      <c r="AB40" s="33"/>
      <c r="AC40" s="33"/>
      <c r="AD40" s="33"/>
      <c r="AE40" s="33"/>
      <c r="AF40" s="17"/>
      <c r="AG40" s="17"/>
      <c r="AH40" s="17"/>
      <c r="AI40" s="17"/>
      <c r="AJ40" s="17"/>
      <c r="AK40" s="33"/>
      <c r="AL40" s="33"/>
      <c r="AM40" s="17"/>
      <c r="AN40" s="17"/>
      <c r="AO40" s="17"/>
      <c r="AP40" s="17"/>
      <c r="AQ40" s="17"/>
      <c r="AR40" s="33"/>
      <c r="AS40" s="33"/>
      <c r="AT40" s="17"/>
      <c r="AU40" s="17"/>
      <c r="AV40" s="17"/>
      <c r="AW40" s="17"/>
      <c r="AX40" s="17"/>
    </row>
    <row r="41" spans="1:50" ht="15.75" customHeight="1">
      <c r="A41" s="32"/>
      <c r="B41" s="42"/>
      <c r="C41" s="42"/>
      <c r="D41" s="42"/>
      <c r="E41" s="43"/>
      <c r="F41" s="43"/>
      <c r="G41" s="32"/>
      <c r="H41" s="32"/>
      <c r="I41" s="32"/>
      <c r="J41" s="42"/>
      <c r="K41" s="17"/>
      <c r="L41" s="17"/>
      <c r="M41" s="17"/>
      <c r="N41" s="17"/>
      <c r="O41" s="17"/>
      <c r="P41" s="33"/>
      <c r="Q41" s="33"/>
      <c r="R41" s="17"/>
      <c r="S41" s="33"/>
      <c r="T41" s="33"/>
      <c r="U41" s="33"/>
      <c r="V41" s="33"/>
      <c r="W41" s="33"/>
      <c r="X41" s="33"/>
      <c r="Y41" s="17"/>
      <c r="Z41" s="33"/>
      <c r="AA41" s="33"/>
      <c r="AB41" s="33"/>
      <c r="AC41" s="33"/>
      <c r="AD41" s="33"/>
      <c r="AE41" s="33"/>
      <c r="AF41" s="17"/>
      <c r="AG41" s="17"/>
      <c r="AH41" s="17"/>
      <c r="AI41" s="17"/>
      <c r="AJ41" s="17"/>
      <c r="AK41" s="33"/>
      <c r="AL41" s="33"/>
      <c r="AM41" s="17"/>
      <c r="AN41" s="17"/>
      <c r="AO41" s="17"/>
      <c r="AP41" s="17"/>
      <c r="AQ41" s="17"/>
      <c r="AR41" s="33"/>
      <c r="AS41" s="33"/>
      <c r="AT41" s="17"/>
      <c r="AU41" s="17"/>
      <c r="AV41" s="17"/>
      <c r="AW41" s="17"/>
      <c r="AX41" s="17"/>
    </row>
    <row r="42" spans="1:50" ht="15.75" customHeight="1">
      <c r="A42" s="32"/>
      <c r="B42" s="42"/>
      <c r="C42" s="42"/>
      <c r="D42" s="42"/>
      <c r="E42" s="43"/>
      <c r="F42" s="43"/>
      <c r="G42" s="32"/>
      <c r="H42" s="32"/>
      <c r="I42" s="32"/>
      <c r="J42" s="42"/>
      <c r="K42" s="17"/>
      <c r="L42" s="17"/>
      <c r="M42" s="17"/>
      <c r="N42" s="17"/>
      <c r="O42" s="17"/>
      <c r="P42" s="33"/>
      <c r="Q42" s="33"/>
      <c r="R42" s="17"/>
      <c r="S42" s="33"/>
      <c r="T42" s="33"/>
      <c r="U42" s="33"/>
      <c r="V42" s="33"/>
      <c r="W42" s="33"/>
      <c r="X42" s="33"/>
      <c r="Y42" s="17"/>
      <c r="Z42" s="33"/>
      <c r="AA42" s="33"/>
      <c r="AB42" s="33"/>
      <c r="AC42" s="33"/>
      <c r="AD42" s="33"/>
      <c r="AE42" s="33"/>
      <c r="AF42" s="17"/>
      <c r="AG42" s="17"/>
      <c r="AH42" s="17"/>
      <c r="AI42" s="17"/>
      <c r="AJ42" s="17"/>
      <c r="AK42" s="33"/>
      <c r="AL42" s="33"/>
      <c r="AM42" s="17"/>
      <c r="AN42" s="17"/>
      <c r="AO42" s="17"/>
      <c r="AP42" s="17"/>
      <c r="AQ42" s="17"/>
      <c r="AR42" s="33"/>
      <c r="AS42" s="33"/>
      <c r="AT42" s="17"/>
      <c r="AU42" s="17"/>
      <c r="AV42" s="17"/>
      <c r="AW42" s="17"/>
      <c r="AX42" s="17"/>
    </row>
    <row r="43" spans="1:50" ht="15.75" customHeight="1">
      <c r="A43" s="32"/>
      <c r="B43" s="42"/>
      <c r="C43" s="42"/>
      <c r="D43" s="42"/>
      <c r="E43" s="43"/>
      <c r="F43" s="43"/>
      <c r="G43" s="32"/>
      <c r="H43" s="32"/>
      <c r="I43" s="32"/>
      <c r="J43" s="42"/>
      <c r="K43" s="17"/>
      <c r="L43" s="17"/>
      <c r="M43" s="17"/>
      <c r="N43" s="17"/>
      <c r="O43" s="17"/>
      <c r="P43" s="33"/>
      <c r="Q43" s="33"/>
      <c r="R43" s="17"/>
      <c r="S43" s="33"/>
      <c r="T43" s="33"/>
      <c r="U43" s="33"/>
      <c r="V43" s="33"/>
      <c r="W43" s="33"/>
      <c r="X43" s="33"/>
      <c r="Y43" s="17"/>
      <c r="Z43" s="33"/>
      <c r="AA43" s="33"/>
      <c r="AB43" s="33"/>
      <c r="AC43" s="33"/>
      <c r="AD43" s="33"/>
      <c r="AE43" s="33"/>
      <c r="AF43" s="17"/>
      <c r="AG43" s="17"/>
      <c r="AH43" s="17"/>
      <c r="AI43" s="17"/>
      <c r="AJ43" s="17"/>
      <c r="AK43" s="33"/>
      <c r="AL43" s="33"/>
      <c r="AM43" s="17"/>
      <c r="AN43" s="17"/>
      <c r="AO43" s="17"/>
      <c r="AP43" s="17"/>
      <c r="AQ43" s="17"/>
      <c r="AR43" s="33"/>
      <c r="AS43" s="33"/>
      <c r="AT43" s="17"/>
      <c r="AU43" s="17"/>
      <c r="AV43" s="17"/>
      <c r="AW43" s="17"/>
      <c r="AX43" s="17"/>
    </row>
    <row r="44" spans="1:50" ht="15.75" customHeight="1">
      <c r="A44" s="32"/>
      <c r="B44" s="42"/>
      <c r="C44" s="42"/>
      <c r="D44" s="42"/>
      <c r="E44" s="43"/>
      <c r="F44" s="43"/>
      <c r="G44" s="32"/>
      <c r="H44" s="32"/>
      <c r="I44" s="32"/>
      <c r="J44" s="42"/>
      <c r="K44" s="17"/>
      <c r="L44" s="17"/>
      <c r="M44" s="17"/>
      <c r="N44" s="17"/>
      <c r="O44" s="17"/>
      <c r="P44" s="33"/>
      <c r="Q44" s="33"/>
      <c r="R44" s="17"/>
      <c r="S44" s="33"/>
      <c r="T44" s="33"/>
      <c r="U44" s="33"/>
      <c r="V44" s="33"/>
      <c r="W44" s="33"/>
      <c r="X44" s="33"/>
      <c r="Y44" s="17"/>
      <c r="Z44" s="33"/>
      <c r="AA44" s="33"/>
      <c r="AB44" s="33"/>
      <c r="AC44" s="33"/>
      <c r="AD44" s="33"/>
      <c r="AE44" s="33"/>
      <c r="AF44" s="17"/>
      <c r="AG44" s="17"/>
      <c r="AH44" s="17"/>
      <c r="AI44" s="17"/>
      <c r="AJ44" s="17"/>
      <c r="AK44" s="33"/>
      <c r="AL44" s="33"/>
      <c r="AM44" s="17"/>
      <c r="AN44" s="17"/>
      <c r="AO44" s="17"/>
      <c r="AP44" s="17"/>
      <c r="AQ44" s="17"/>
      <c r="AR44" s="33"/>
      <c r="AS44" s="33"/>
      <c r="AT44" s="17"/>
      <c r="AU44" s="17"/>
      <c r="AV44" s="17"/>
      <c r="AW44" s="17"/>
      <c r="AX44" s="17"/>
    </row>
    <row r="45" spans="1:50" ht="15.75" customHeight="1">
      <c r="A45" s="32"/>
      <c r="B45" s="42"/>
      <c r="C45" s="42"/>
      <c r="D45" s="42"/>
      <c r="E45" s="43"/>
      <c r="F45" s="43"/>
      <c r="G45" s="32"/>
      <c r="H45" s="32"/>
      <c r="I45" s="32"/>
      <c r="J45" s="42"/>
      <c r="K45" s="17"/>
      <c r="L45" s="17"/>
      <c r="M45" s="17"/>
      <c r="N45" s="17"/>
      <c r="O45" s="17"/>
      <c r="P45" s="33"/>
      <c r="Q45" s="33"/>
      <c r="R45" s="17"/>
      <c r="S45" s="33"/>
      <c r="T45" s="33"/>
      <c r="U45" s="33"/>
      <c r="V45" s="33"/>
      <c r="W45" s="33"/>
      <c r="X45" s="33"/>
      <c r="Y45" s="17"/>
      <c r="Z45" s="33"/>
      <c r="AA45" s="33"/>
      <c r="AB45" s="33"/>
      <c r="AC45" s="33"/>
      <c r="AD45" s="33"/>
      <c r="AE45" s="33"/>
      <c r="AF45" s="17"/>
      <c r="AG45" s="17"/>
      <c r="AH45" s="17"/>
      <c r="AI45" s="17"/>
      <c r="AJ45" s="17"/>
      <c r="AK45" s="33"/>
      <c r="AL45" s="33"/>
      <c r="AM45" s="17"/>
      <c r="AN45" s="17"/>
      <c r="AO45" s="17"/>
      <c r="AP45" s="17"/>
      <c r="AQ45" s="17"/>
      <c r="AR45" s="33"/>
      <c r="AS45" s="33"/>
      <c r="AT45" s="17"/>
      <c r="AU45" s="17"/>
      <c r="AV45" s="17"/>
      <c r="AW45" s="17"/>
      <c r="AX45" s="17"/>
    </row>
    <row r="46" spans="1:50" ht="15.75" customHeight="1">
      <c r="A46" s="32"/>
      <c r="B46" s="42"/>
      <c r="C46" s="42"/>
      <c r="D46" s="42"/>
      <c r="E46" s="43"/>
      <c r="F46" s="43"/>
      <c r="G46" s="32"/>
      <c r="H46" s="32"/>
      <c r="I46" s="32"/>
      <c r="J46" s="42"/>
      <c r="K46" s="17"/>
      <c r="L46" s="17"/>
      <c r="M46" s="17"/>
      <c r="N46" s="17"/>
      <c r="O46" s="17"/>
      <c r="P46" s="33"/>
      <c r="Q46" s="33"/>
      <c r="R46" s="17"/>
      <c r="S46" s="33"/>
      <c r="T46" s="33"/>
      <c r="U46" s="33"/>
      <c r="V46" s="33"/>
      <c r="W46" s="33"/>
      <c r="X46" s="33"/>
      <c r="Y46" s="17"/>
      <c r="Z46" s="33"/>
      <c r="AA46" s="33"/>
      <c r="AB46" s="33"/>
      <c r="AC46" s="33"/>
      <c r="AD46" s="33"/>
      <c r="AE46" s="33"/>
      <c r="AF46" s="17"/>
      <c r="AG46" s="17"/>
      <c r="AH46" s="17"/>
      <c r="AI46" s="17"/>
      <c r="AJ46" s="17"/>
      <c r="AK46" s="33"/>
      <c r="AL46" s="33"/>
      <c r="AM46" s="17"/>
      <c r="AN46" s="17"/>
      <c r="AO46" s="17"/>
      <c r="AP46" s="17"/>
      <c r="AQ46" s="17"/>
      <c r="AR46" s="33"/>
      <c r="AS46" s="33"/>
      <c r="AT46" s="17"/>
      <c r="AU46" s="17"/>
      <c r="AV46" s="17"/>
      <c r="AW46" s="17"/>
      <c r="AX46" s="17"/>
    </row>
    <row r="47" spans="1:50" ht="15.75" customHeight="1">
      <c r="A47" s="32"/>
      <c r="B47" s="42"/>
      <c r="C47" s="42"/>
      <c r="D47" s="42"/>
      <c r="E47" s="43"/>
      <c r="F47" s="43"/>
      <c r="G47" s="32"/>
      <c r="H47" s="32"/>
      <c r="I47" s="32"/>
      <c r="J47" s="42"/>
      <c r="K47" s="17"/>
      <c r="L47" s="17"/>
      <c r="M47" s="17"/>
      <c r="N47" s="17"/>
      <c r="O47" s="17"/>
      <c r="P47" s="33"/>
      <c r="Q47" s="33"/>
      <c r="R47" s="17"/>
      <c r="S47" s="33"/>
      <c r="T47" s="33"/>
      <c r="U47" s="33"/>
      <c r="V47" s="33"/>
      <c r="W47" s="33"/>
      <c r="X47" s="33"/>
      <c r="Y47" s="17"/>
      <c r="Z47" s="33"/>
      <c r="AA47" s="33"/>
      <c r="AB47" s="33"/>
      <c r="AC47" s="33"/>
      <c r="AD47" s="33"/>
      <c r="AE47" s="33"/>
      <c r="AF47" s="17"/>
      <c r="AG47" s="17"/>
      <c r="AH47" s="17"/>
      <c r="AI47" s="17"/>
      <c r="AJ47" s="17"/>
      <c r="AK47" s="33"/>
      <c r="AL47" s="33"/>
      <c r="AM47" s="17"/>
      <c r="AN47" s="17"/>
      <c r="AO47" s="17"/>
      <c r="AP47" s="17"/>
      <c r="AQ47" s="17"/>
      <c r="AR47" s="33"/>
      <c r="AS47" s="33"/>
      <c r="AT47" s="17"/>
      <c r="AU47" s="17"/>
      <c r="AV47" s="17"/>
      <c r="AW47" s="17"/>
      <c r="AX47" s="17"/>
    </row>
    <row r="48" spans="1:5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A1:AX47" xr:uid="{00000000-0009-0000-0000-000000000000}"/>
  <mergeCells count="8">
    <mergeCell ref="C23:C25"/>
    <mergeCell ref="C18:C22"/>
    <mergeCell ref="F19:G22"/>
    <mergeCell ref="A2:A6"/>
    <mergeCell ref="A19:A22"/>
    <mergeCell ref="A13:A16"/>
    <mergeCell ref="A7:A11"/>
    <mergeCell ref="A23:A2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4.42578125" defaultRowHeight="15" customHeight="1"/>
  <cols>
    <col min="1" max="1" width="14" customWidth="1"/>
    <col min="2" max="3" width="12" customWidth="1"/>
    <col min="4" max="26" width="8.7109375" customWidth="1"/>
  </cols>
  <sheetData>
    <row r="1" spans="1:10">
      <c r="A1" s="44" t="s">
        <v>2</v>
      </c>
      <c r="B1" s="45" t="s">
        <v>6</v>
      </c>
      <c r="C1" s="46"/>
      <c r="D1" s="47"/>
      <c r="E1" s="47"/>
      <c r="F1" s="47"/>
      <c r="G1" s="47"/>
      <c r="H1" s="47"/>
      <c r="I1" s="47"/>
      <c r="J1" s="47"/>
    </row>
    <row r="2" spans="1:10">
      <c r="A2" s="48" t="s">
        <v>27</v>
      </c>
      <c r="B2" s="49">
        <v>246</v>
      </c>
      <c r="C2" s="50"/>
      <c r="D2" s="47"/>
      <c r="E2" s="47"/>
      <c r="F2" s="47"/>
      <c r="G2" s="47"/>
      <c r="H2" s="47"/>
      <c r="I2" s="47"/>
      <c r="J2" s="47"/>
    </row>
    <row r="3" spans="1:10">
      <c r="A3" s="48" t="s">
        <v>33</v>
      </c>
      <c r="B3" s="49">
        <v>130</v>
      </c>
      <c r="C3" s="50"/>
      <c r="D3" s="60"/>
      <c r="E3" s="58"/>
      <c r="F3" s="58"/>
      <c r="G3" s="58"/>
      <c r="H3" s="58"/>
      <c r="I3" s="58"/>
      <c r="J3" s="58"/>
    </row>
    <row r="4" spans="1:10">
      <c r="A4" s="48" t="s">
        <v>20</v>
      </c>
      <c r="B4" s="49">
        <v>266</v>
      </c>
      <c r="C4" s="50"/>
      <c r="D4" s="58"/>
      <c r="E4" s="58"/>
      <c r="F4" s="58"/>
      <c r="G4" s="58"/>
      <c r="H4" s="58"/>
      <c r="I4" s="58"/>
      <c r="J4" s="58"/>
    </row>
    <row r="5" spans="1:10">
      <c r="A5" s="48" t="s">
        <v>54</v>
      </c>
      <c r="B5" s="49">
        <v>125</v>
      </c>
      <c r="C5" s="50"/>
      <c r="D5" s="58"/>
      <c r="E5" s="58"/>
      <c r="F5" s="58"/>
      <c r="G5" s="58"/>
      <c r="H5" s="58"/>
      <c r="I5" s="58"/>
      <c r="J5" s="58"/>
    </row>
    <row r="6" spans="1:10">
      <c r="A6" s="51" t="s">
        <v>15</v>
      </c>
      <c r="B6" s="38">
        <v>242</v>
      </c>
      <c r="C6" s="50"/>
      <c r="D6" s="58"/>
      <c r="E6" s="58"/>
      <c r="F6" s="58"/>
      <c r="G6" s="58"/>
      <c r="H6" s="58"/>
      <c r="I6" s="58"/>
      <c r="J6" s="58"/>
    </row>
    <row r="7" spans="1:10">
      <c r="A7" s="47"/>
      <c r="B7" s="47"/>
      <c r="C7" s="47"/>
      <c r="D7" s="58"/>
      <c r="E7" s="58"/>
      <c r="F7" s="58"/>
      <c r="G7" s="58"/>
      <c r="H7" s="58"/>
      <c r="I7" s="58"/>
      <c r="J7" s="58"/>
    </row>
    <row r="8" spans="1:10">
      <c r="A8" s="47"/>
      <c r="B8" s="47"/>
      <c r="C8" s="47"/>
      <c r="D8" s="58"/>
      <c r="E8" s="58"/>
      <c r="F8" s="58"/>
      <c r="G8" s="58"/>
      <c r="H8" s="58"/>
      <c r="I8" s="58"/>
      <c r="J8" s="58"/>
    </row>
    <row r="9" spans="1:10">
      <c r="A9" s="47"/>
      <c r="B9" s="47"/>
      <c r="C9" s="47"/>
      <c r="D9" s="58"/>
      <c r="E9" s="58"/>
      <c r="F9" s="58"/>
      <c r="G9" s="58"/>
      <c r="H9" s="58"/>
      <c r="I9" s="58"/>
      <c r="J9" s="58"/>
    </row>
    <row r="10" spans="1:10">
      <c r="A10" s="47"/>
      <c r="B10" s="47"/>
      <c r="C10" s="47"/>
      <c r="D10" s="58"/>
      <c r="E10" s="58"/>
      <c r="F10" s="58"/>
      <c r="G10" s="58"/>
      <c r="H10" s="58"/>
      <c r="I10" s="58"/>
      <c r="J10" s="58"/>
    </row>
    <row r="11" spans="1:10">
      <c r="A11" s="47"/>
      <c r="B11" s="47"/>
      <c r="C11" s="47"/>
      <c r="D11" s="58"/>
      <c r="E11" s="58"/>
      <c r="F11" s="58"/>
      <c r="G11" s="58"/>
      <c r="H11" s="58"/>
      <c r="I11" s="58"/>
      <c r="J11" s="58"/>
    </row>
    <row r="12" spans="1:10">
      <c r="A12" s="47"/>
      <c r="B12" s="47"/>
      <c r="C12" s="47"/>
      <c r="D12" s="58"/>
      <c r="E12" s="58"/>
      <c r="F12" s="58"/>
      <c r="G12" s="58"/>
      <c r="H12" s="58"/>
      <c r="I12" s="58"/>
      <c r="J12" s="58"/>
    </row>
    <row r="13" spans="1:10">
      <c r="A13" s="47"/>
      <c r="B13" s="47"/>
      <c r="C13" s="47"/>
      <c r="D13" s="58"/>
      <c r="E13" s="58"/>
      <c r="F13" s="58"/>
      <c r="G13" s="58"/>
      <c r="H13" s="58"/>
      <c r="I13" s="58"/>
      <c r="J13" s="58"/>
    </row>
    <row r="14" spans="1:10">
      <c r="A14" s="47"/>
      <c r="B14" s="47"/>
      <c r="C14" s="47"/>
      <c r="D14" s="58"/>
      <c r="E14" s="58"/>
      <c r="F14" s="58"/>
      <c r="G14" s="58"/>
      <c r="H14" s="58"/>
      <c r="I14" s="58"/>
      <c r="J14" s="58"/>
    </row>
    <row r="15" spans="1:10">
      <c r="A15" s="47"/>
      <c r="B15" s="47"/>
      <c r="C15" s="47"/>
      <c r="D15" s="58"/>
      <c r="E15" s="58"/>
      <c r="F15" s="58"/>
      <c r="G15" s="58"/>
      <c r="H15" s="58"/>
      <c r="I15" s="58"/>
      <c r="J15" s="58"/>
    </row>
    <row r="16" spans="1:10">
      <c r="A16" s="47"/>
      <c r="B16" s="47"/>
      <c r="C16" s="47"/>
      <c r="D16" s="58"/>
      <c r="E16" s="58"/>
      <c r="F16" s="58"/>
      <c r="G16" s="58"/>
      <c r="H16" s="58"/>
      <c r="I16" s="58"/>
      <c r="J16" s="58"/>
    </row>
    <row r="17" spans="1:10">
      <c r="A17" s="47"/>
      <c r="B17" s="47"/>
      <c r="C17" s="47"/>
      <c r="D17" s="58"/>
      <c r="E17" s="58"/>
      <c r="F17" s="58"/>
      <c r="G17" s="58"/>
      <c r="H17" s="58"/>
      <c r="I17" s="58"/>
      <c r="J17" s="58"/>
    </row>
    <row r="18" spans="1:10">
      <c r="A18" s="47"/>
      <c r="B18" s="47"/>
      <c r="C18" s="47"/>
      <c r="D18" s="58"/>
      <c r="E18" s="58"/>
      <c r="F18" s="58"/>
      <c r="G18" s="58"/>
      <c r="H18" s="58"/>
      <c r="I18" s="58"/>
      <c r="J18" s="58"/>
    </row>
    <row r="21" spans="1:10" ht="15.75" customHeight="1"/>
    <row r="22" spans="1:10" ht="15.75" customHeight="1"/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3:J18"/>
  </mergeCells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2025-12-18T08:38:25Z</dcterms:created>
  <dcterms:modified xsi:type="dcterms:W3CDTF">2026-01-21T02:31:40Z</dcterms:modified>
  <cp:category/>
  <cp:contentStatus/>
</cp:coreProperties>
</file>